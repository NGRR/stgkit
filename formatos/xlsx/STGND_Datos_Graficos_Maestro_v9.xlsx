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to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lería visual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4C2B46"/>
      <sz val="14"/>
    </font>
    <font>
      <name val="Carlito"/>
      <color rgb="FF222222"/>
      <sz val="11"/>
    </font>
    <font>
      <name val="Aptos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FF4C2B46"/>
      </patternFill>
    </fill>
    <fill>
      <patternFill patternType="solid">
        <fgColor rgb="FFF7F6F7"/>
      </patternFill>
    </fill>
    <fill>
      <patternFill patternType="solid">
        <fgColor rgb="004C2B46"/>
      </patternFill>
    </fill>
  </fills>
  <borders count="2">
    <border/>
    <border/>
  </borders>
  <cellStyleXfs count="1">
    <xf numFmtId="0" fontId="0" fillId="0" borderId="1"/>
  </cellStyleXfs>
  <cellXfs count="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left"/>
    </xf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3" fillId="0" borderId="0" pivotButton="0" quotePrefix="0" xfId="0"/>
    <xf numFmtId="0" fontId="3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3" borderId="0" pivotButton="0" quotePrefix="0" xfId="0"/>
    <xf numFmtId="0" fontId="4" fillId="3" borderId="0" pivotButton="0" quotePrefix="0" xfId="0"/>
    <xf numFmtId="9" fontId="4" fillId="3" borderId="0" pivotButton="0" quotePrefix="0" xfId="0"/>
    <xf numFmtId="164" fontId="4" fillId="3" borderId="0" pivotButton="0" quotePrefix="0" xfId="0"/>
    <xf numFmtId="0" fontId="0" fillId="3" borderId="1" pivotButton="0" quotePrefix="0" xfId="0"/>
    <xf numFmtId="9" fontId="0" fillId="3" borderId="1" pivotButton="0" quotePrefix="0" xfId="0"/>
    <xf numFmtId="164" fontId="0" fillId="3" borderId="1" pivotButton="0" quotePrefix="0" xfId="0"/>
    <xf numFmtId="0" fontId="4" fillId="3" borderId="1" pivotButton="0" quotePrefix="0" xfId="0"/>
    <xf numFmtId="9" fontId="4" fillId="3" borderId="1" pivotButton="0" quotePrefix="0" xfId="0"/>
    <xf numFmtId="164" fontId="4" fillId="3" borderId="1" pivotButton="0" quotePrefix="0" xfId="0"/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9" fontId="4" fillId="3" borderId="0" pivotButton="0" quotePrefix="0" xfId="0"/>
    <xf numFmtId="164" fontId="4" fillId="3" borderId="0" pivotButton="0" quotePrefix="0" xfId="0"/>
    <xf numFmtId="0" fontId="5" fillId="4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comparada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'Dashboard'!$A$9:$A$13</f>
            </numRef>
          </cat>
          <val>
            <numRef>
              <f>'Dashboard'!$B$9:$B$13</f>
            </numRef>
          </val>
        </ser>
        <ser>
          <idx val="1"/>
          <order val="1"/>
          <tx>
            <strRef>
              <f>'Dashboard'!C8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'Dashboard'!$A$9:$A$13</f>
            </numRef>
          </cat>
          <val>
            <numRef>
              <f>'Dashboard'!$C$9:$C$13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Categoría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Resultado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Columnas agrupadas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Columnas apiladas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Columnas 100 %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Barras agrupadas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Barras apiladas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Gráfico de torta</a:t>
            </a:r>
          </a:p>
        </rich>
      </tx>
    </title>
    <plotArea>
      <pieChart>
        <varyColors val="1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Gráfico de anillo</a:t>
            </a:r>
          </a:p>
        </rich>
      </tx>
    </title>
    <plotArea>
      <doughnutChart>
        <varyColors val="1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firstSliceAng val="0"/>
        <holeSize val="10"/>
      </doughnutChart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temporal</a:t>
            </a:r>
          </a:p>
        </rich>
      </tx>
    </title>
    <plotArea>
      <lineChart>
        <grouping val="standar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'Galería visual'!$A$2:$A$6</f>
            </numRef>
          </cat>
          <val>
            <numRef>
              <f>'Galería visual'!$C$2:$C$6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Área comparada</a:t>
            </a:r>
          </a:p>
        </rich>
      </tx>
    </title>
    <plotArea>
      <areaChart>
        <grouping val="standar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cat>
            <numRef>
              <f>'Galería visual'!$A$2:$A$6</f>
            </numRef>
          </cat>
          <val>
            <numRef>
              <f>'Galería visual'!$C$2:$C$6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Perfil comparado</a:t>
            </a:r>
          </a:p>
        </rich>
      </tx>
    </title>
    <plotArea>
      <radarChart>
        <radarStyle val="standard"/>
        <ser>
          <idx val="0"/>
          <order val="0"/>
          <tx>
            <strRef>
              <f>'Galería visual'!B1</f>
            </strRef>
          </tx>
          <spPr>
            <a:solidFill xmlns:a="http://schemas.openxmlformats.org/drawingml/2006/main">
              <a:srgbClr val="4C2B46"/>
            </a:solidFill>
            <a:ln xmlns:a="http://schemas.openxmlformats.org/drawingml/2006/main">
              <a:solidFill>
                <a:srgbClr val="4C2B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'Galería visual'!$A$2:$A$6</f>
            </numRef>
          </cat>
          <val>
            <numRef>
              <f>'Galería visual'!$B$2:$B$6</f>
            </numRef>
          </val>
        </ser>
        <ser>
          <idx val="1"/>
          <order val="1"/>
          <tx>
            <strRef>
              <f>'Galería visual'!C1</f>
            </strRef>
          </tx>
          <spPr>
            <a:solidFill xmlns:a="http://schemas.openxmlformats.org/drawingml/2006/main">
              <a:srgbClr val="E97700"/>
            </a:solidFill>
            <a:ln xmlns:a="http://schemas.openxmlformats.org/drawingml/2006/main">
              <a:solidFill>
                <a:srgbClr val="E97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'Galería visual'!$A$2:$A$6</f>
            </numRef>
          </cat>
          <val>
            <numRef>
              <f>'Galería visual'!$C$2:$C$6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/Relationships>
</file>

<file path=xl/drawings/drawing1.xml><?xml version="1.0" encoding="utf-8"?>
<wsDr xmlns="http://schemas.openxmlformats.org/drawingml/2006/spreadsheetDrawing">
  <oneCellAnchor>
    <from>
      <col>4</col>
      <colOff>0</colOff>
      <row>7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48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48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17</row>
      <rowOff>0</rowOff>
    </from>
    <ext cx="48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17</row>
      <rowOff>0</rowOff>
    </from>
    <ext cx="48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0</colOff>
      <row>33</row>
      <rowOff>0</rowOff>
    </from>
    <ext cx="48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33</row>
      <rowOff>0</rowOff>
    </from>
    <ext cx="486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49</row>
      <rowOff>0</rowOff>
    </from>
    <ext cx="486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12</col>
      <colOff>0</colOff>
      <row>49</row>
      <rowOff>0</rowOff>
    </from>
    <ext cx="486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4</col>
      <colOff>0</colOff>
      <row>65</row>
      <rowOff>0</rowOff>
    </from>
    <ext cx="486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12</col>
      <colOff>0</colOff>
      <row>65</row>
      <rowOff>0</rowOff>
    </from>
    <ext cx="4860000" cy="27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tosGraficos" displayName="DatosGraficos" ref="A1:E6" headerRowCount="1" totalsRowCount="0" totalsRowShown="0">
  <tableColumns count="5">
    <tableColumn id="1" name="Categoría"/>
    <tableColumn id="2" name="Línea base"/>
    <tableColumn id="3" name="Resultado"/>
    <tableColumn id="4" name="Meta"/>
    <tableColumn id="5" name="Variación 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8" t="inlineStr">
        <is>
          <t>Categoría</t>
        </is>
      </c>
      <c r="B1" s="8" t="inlineStr">
        <is>
          <t>Línea base</t>
        </is>
      </c>
      <c r="C1" s="8" t="inlineStr">
        <is>
          <t>Resultado</t>
        </is>
      </c>
      <c r="D1" s="8" t="inlineStr">
        <is>
          <t>Meta</t>
        </is>
      </c>
      <c r="E1" s="8" t="inlineStr">
        <is>
          <t>Variación pp</t>
        </is>
      </c>
    </row>
    <row r="2">
      <c r="A2" s="9" t="inlineStr">
        <is>
          <t>Categoría A</t>
        </is>
      </c>
      <c r="B2" s="38" t="n">
        <v>42</v>
      </c>
      <c r="C2" s="38" t="n">
        <v>82</v>
      </c>
      <c r="D2" s="38" t="n">
        <v>75</v>
      </c>
      <c r="E2" s="38">
        <f>C2-B2</f>
        <v/>
      </c>
    </row>
    <row r="3">
      <c r="A3" s="9" t="inlineStr">
        <is>
          <t>Categoría B</t>
        </is>
      </c>
      <c r="B3" s="38" t="n">
        <v>38</v>
      </c>
      <c r="C3" s="38" t="n">
        <v>64</v>
      </c>
      <c r="D3" s="38" t="n">
        <v>70</v>
      </c>
      <c r="E3" s="38">
        <f>C3-B3</f>
        <v/>
      </c>
    </row>
    <row r="4">
      <c r="A4" s="9" t="inlineStr">
        <is>
          <t>Categoría C</t>
        </is>
      </c>
      <c r="B4" s="38" t="n">
        <v>33</v>
      </c>
      <c r="C4" s="38" t="n">
        <v>47</v>
      </c>
      <c r="D4" s="38" t="n">
        <v>55</v>
      </c>
      <c r="E4" s="38">
        <f>C4-B4</f>
        <v/>
      </c>
    </row>
    <row r="5">
      <c r="A5" s="9" t="inlineStr">
        <is>
          <t>Categoría D</t>
        </is>
      </c>
      <c r="B5" s="38" t="n">
        <v>24</v>
      </c>
      <c r="C5" s="38" t="n">
        <v>31</v>
      </c>
      <c r="D5" s="38" t="n">
        <v>45</v>
      </c>
      <c r="E5" s="38">
        <f>C5-B5</f>
        <v/>
      </c>
    </row>
    <row r="6">
      <c r="A6" s="9" t="inlineStr">
        <is>
          <t>Categoría E</t>
        </is>
      </c>
      <c r="B6" s="38" t="n">
        <v>10</v>
      </c>
      <c r="C6" s="38" t="n">
        <v>18</v>
      </c>
      <c r="D6" s="38" t="n">
        <v>25</v>
      </c>
      <c r="E6" s="38">
        <f>C6-B6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7" t="inlineStr">
        <is>
          <t>Documento con gráficos · STGND</t>
        </is>
      </c>
      <c r="B1" s="1" t="n"/>
      <c r="C1" s="1" t="n"/>
      <c r="D1" s="1" t="n"/>
      <c r="E1" s="1" t="n"/>
      <c r="F1" s="1" t="n"/>
      <c r="G1" s="1" t="n"/>
    </row>
    <row r="3">
      <c r="A3" s="19" t="inlineStr">
        <is>
          <t>Indicadores</t>
        </is>
      </c>
      <c r="B3" s="1" t="n"/>
    </row>
    <row r="4">
      <c r="A4" s="27" t="inlineStr">
        <is>
          <t>Participación observada</t>
        </is>
      </c>
      <c r="B4" s="39" t="n">
        <v>0.58</v>
      </c>
    </row>
    <row r="5">
      <c r="A5" s="27" t="inlineStr">
        <is>
          <t>Casos analizados</t>
        </is>
      </c>
      <c r="B5" s="40" t="n">
        <v>23</v>
      </c>
    </row>
    <row r="6">
      <c r="A6" s="27" t="inlineStr">
        <is>
          <t>Índice comparado</t>
        </is>
      </c>
      <c r="B6" s="40" t="n">
        <v>4.2</v>
      </c>
    </row>
    <row r="8">
      <c r="A8" s="36" t="inlineStr">
        <is>
          <t>Categoría</t>
        </is>
      </c>
      <c r="B8" s="36" t="inlineStr">
        <is>
          <t>Resultado</t>
        </is>
      </c>
      <c r="C8" s="36" t="inlineStr">
        <is>
          <t>Meta</t>
        </is>
      </c>
      <c r="D8" s="36" t="inlineStr">
        <is>
          <t>Variación</t>
        </is>
      </c>
      <c r="E8" s="36" t="inlineStr">
        <is>
          <t>Lectura</t>
        </is>
      </c>
    </row>
    <row r="9">
      <c r="A9" s="9" t="inlineStr">
        <is>
          <t>Categoría A</t>
        </is>
      </c>
      <c r="B9" s="38">
        <f>Datos!C2</f>
        <v/>
      </c>
      <c r="C9" s="38">
        <f>Datos!D2</f>
        <v/>
      </c>
      <c r="D9" s="38">
        <f>Datos!E2</f>
        <v/>
      </c>
      <c r="E9" s="9" t="inlineStr">
        <is>
          <t>Sobre meta</t>
        </is>
      </c>
    </row>
    <row r="10">
      <c r="A10" s="9" t="inlineStr">
        <is>
          <t>Categoría B</t>
        </is>
      </c>
      <c r="B10" s="38">
        <f>Datos!C3</f>
        <v/>
      </c>
      <c r="C10" s="38">
        <f>Datos!D3</f>
        <v/>
      </c>
      <c r="D10" s="38">
        <f>Datos!E3</f>
        <v/>
      </c>
      <c r="E10" s="9" t="inlineStr">
        <is>
          <t>Bajo meta</t>
        </is>
      </c>
    </row>
    <row r="11">
      <c r="A11" s="9" t="inlineStr">
        <is>
          <t>Categoría C</t>
        </is>
      </c>
      <c r="B11" s="38">
        <f>Datos!C4</f>
        <v/>
      </c>
      <c r="C11" s="38">
        <f>Datos!D4</f>
        <v/>
      </c>
      <c r="D11" s="38">
        <f>Datos!E4</f>
        <v/>
      </c>
      <c r="E11" s="9" t="inlineStr">
        <is>
          <t>Bajo meta</t>
        </is>
      </c>
    </row>
    <row r="12">
      <c r="A12" s="9" t="inlineStr">
        <is>
          <t>Categoría D</t>
        </is>
      </c>
      <c r="B12" s="38">
        <f>Datos!C5</f>
        <v/>
      </c>
      <c r="C12" s="38">
        <f>Datos!D5</f>
        <v/>
      </c>
      <c r="D12" s="38">
        <f>Datos!E5</f>
        <v/>
      </c>
      <c r="E12" s="9" t="inlineStr">
        <is>
          <t>Bajo meta</t>
        </is>
      </c>
    </row>
    <row r="13">
      <c r="A13" s="9" t="inlineStr">
        <is>
          <t>Categoría E</t>
        </is>
      </c>
      <c r="B13" s="38">
        <f>Datos!C6</f>
        <v/>
      </c>
      <c r="C13" s="38">
        <f>Datos!D6</f>
        <v/>
      </c>
      <c r="D13" s="38">
        <f>Datos!E6</f>
        <v/>
      </c>
      <c r="E13" s="9" t="inlineStr">
        <is>
          <t>Bajo meta</t>
        </is>
      </c>
    </row>
  </sheetData>
  <mergeCells count="2">
    <mergeCell ref="A3:B3"/>
    <mergeCell ref="A1:G1"/>
  </mergeCells>
  <conditionalFormatting sqref="B9:B13">
    <cfRule type="dataBar" priority="1">
      <dataBar>
        <cfvo type="min"/>
        <cfvo type="max"/>
        <color rgb="FFE97700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41" t="inlineStr">
        <is>
          <t>Categoría</t>
        </is>
      </c>
      <c r="B1" s="41" t="inlineStr">
        <is>
          <t>Resultado</t>
        </is>
      </c>
      <c r="C1" s="41" t="inlineStr">
        <is>
          <t>Referencia</t>
        </is>
      </c>
    </row>
    <row r="2">
      <c r="A2" t="inlineStr">
        <is>
          <t>A</t>
        </is>
      </c>
      <c r="B2" t="n">
        <v>82</v>
      </c>
      <c r="C2" t="n">
        <v>70</v>
      </c>
    </row>
    <row r="3">
      <c r="A3" t="inlineStr">
        <is>
          <t>B</t>
        </is>
      </c>
      <c r="B3" t="n">
        <v>64</v>
      </c>
      <c r="C3" t="n">
        <v>58</v>
      </c>
    </row>
    <row r="4">
      <c r="A4" t="inlineStr">
        <is>
          <t>C</t>
        </is>
      </c>
      <c r="B4" t="n">
        <v>47</v>
      </c>
      <c r="C4" t="n">
        <v>52</v>
      </c>
    </row>
    <row r="5">
      <c r="A5" t="inlineStr">
        <is>
          <t>D</t>
        </is>
      </c>
      <c r="B5" t="n">
        <v>31</v>
      </c>
      <c r="C5" t="n">
        <v>40</v>
      </c>
    </row>
    <row r="6">
      <c r="A6" t="inlineStr">
        <is>
          <t>E</t>
        </is>
      </c>
      <c r="B6" t="n">
        <v>18</v>
      </c>
      <c r="C6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2026-08-21T14:15:19Z</dcterms:created>
  <dcterms:modified xmlns:dcterms="http://purl.org/dc/terms/" xmlns:xsi="http://www.w3.org/2001/XMLSchema-instance" xsi:type="dcterms:W3CDTF">2026-08-25T13:05:00Z</dcterms:modified>
</cp:coreProperties>
</file>